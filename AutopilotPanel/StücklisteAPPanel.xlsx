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mswch-my.sharepoint.com/personal/gian_hagmann_stud_msw_ch/Documents/Desktop/Dokumente/KiCad/10.0/projects/AutopilotPanel/"/>
    </mc:Choice>
  </mc:AlternateContent>
  <xr:revisionPtr revIDLastSave="29" documentId="8_{26B2850B-396C-4A10-A2A3-BF3FF7F9D3F5}" xr6:coauthVersionLast="47" xr6:coauthVersionMax="47" xr10:uidLastSave="{17A7A75C-FA89-42F9-A5EF-558A7B020FFE}"/>
  <bookViews>
    <workbookView xWindow="-110" yWindow="-110" windowWidth="19420" windowHeight="11500" xr2:uid="{3A453730-4A69-444B-AC67-0A5819007B5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1" l="1" a="1"/>
  <c r="I16" i="1"/>
  <c r="I1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<sst xmlns="http://schemas.openxmlformats.org/spreadsheetml/2006/main" count="89" uniqueCount="68">
  <si>
    <t>Referenz</t>
  </si>
  <si>
    <t>Anzahl</t>
  </si>
  <si>
    <t>Bezeichnung</t>
  </si>
  <si>
    <t>Typ</t>
  </si>
  <si>
    <t>Lieferant</t>
  </si>
  <si>
    <t>Bestellnummer</t>
  </si>
  <si>
    <t>Pos</t>
  </si>
  <si>
    <t>A1</t>
  </si>
  <si>
    <t>C1 - C8</t>
  </si>
  <si>
    <t>D1 - D14</t>
  </si>
  <si>
    <t>J1</t>
  </si>
  <si>
    <t>Q1 - Q6</t>
  </si>
  <si>
    <t>R1 - R62</t>
  </si>
  <si>
    <t>R63 - R68</t>
  </si>
  <si>
    <t>R69, R70</t>
  </si>
  <si>
    <t>SW1- SW14</t>
  </si>
  <si>
    <t>SW15</t>
  </si>
  <si>
    <t>Rotary Encoder</t>
  </si>
  <si>
    <t>U1 - U8</t>
  </si>
  <si>
    <t>U9 - U14</t>
  </si>
  <si>
    <t>Abblockkondensator</t>
  </si>
  <si>
    <t>100nF</t>
  </si>
  <si>
    <t>LED_Gruen</t>
  </si>
  <si>
    <t>LED_Grün SMD</t>
  </si>
  <si>
    <t>USB-C Connecter</t>
  </si>
  <si>
    <t>Type C</t>
  </si>
  <si>
    <t>N-Kanal MOSFET</t>
  </si>
  <si>
    <t>Widerstand</t>
  </si>
  <si>
    <t>Druckknopf</t>
  </si>
  <si>
    <t>7-Segment-Anzeige</t>
  </si>
  <si>
    <t>Raspberry Pi Pico 2</t>
  </si>
  <si>
    <t>Pico 2</t>
  </si>
  <si>
    <t>6x6mm</t>
  </si>
  <si>
    <t>EC11E</t>
  </si>
  <si>
    <t>Schieberegister</t>
  </si>
  <si>
    <t>FJ5161AH</t>
  </si>
  <si>
    <t>Footprint</t>
  </si>
  <si>
    <r>
      <t>620</t>
    </r>
    <r>
      <rPr>
        <sz val="11"/>
        <color theme="1"/>
        <rFont val="Aptos Narrow"/>
        <family val="2"/>
      </rPr>
      <t>Ω</t>
    </r>
  </si>
  <si>
    <t>10kΩ</t>
  </si>
  <si>
    <t>5.1kΩ</t>
  </si>
  <si>
    <t>Pico 2 SMD</t>
  </si>
  <si>
    <t>16P</t>
  </si>
  <si>
    <t>SOT-23</t>
  </si>
  <si>
    <t>0805</t>
  </si>
  <si>
    <t>6x6mm SMD</t>
  </si>
  <si>
    <t>74HC164D</t>
  </si>
  <si>
    <t>SOIC14</t>
  </si>
  <si>
    <t>THT</t>
  </si>
  <si>
    <t>X9-14</t>
  </si>
  <si>
    <t>7-Segment-Sockel</t>
  </si>
  <si>
    <t>Female Header</t>
  </si>
  <si>
    <t>LCSC</t>
  </si>
  <si>
    <t>C347491</t>
  </si>
  <si>
    <t>C2837531</t>
  </si>
  <si>
    <t>C84260</t>
  </si>
  <si>
    <t>C2907219</t>
  </si>
  <si>
    <t>C282732</t>
  </si>
  <si>
    <t>C41407547</t>
  </si>
  <si>
    <t>C2765186</t>
  </si>
  <si>
    <t>C27834</t>
  </si>
  <si>
    <t>C2907279</t>
  </si>
  <si>
    <t>C6825</t>
  </si>
  <si>
    <t>C5159937</t>
  </si>
  <si>
    <t>Kosten /Stueck</t>
  </si>
  <si>
    <t>Total CHF:</t>
  </si>
  <si>
    <t>Total $:</t>
  </si>
  <si>
    <t>C8093</t>
  </si>
  <si>
    <t>C470742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</si>
</sst>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[$$-409]* #,##0.00_ ;_-[$$-409]* \-#,##0.00\ ;_-[$$-409]* &quot;-&quot;??_ ;_-@_ "/>
    <numFmt numFmtId="166" formatCode="_ [$CHF-807]\ * #,##0.00_ ;_ [$CHF-807]\ * \-#,##0.00_ ;_ [$CHF-807]\ * &quot;-&quot;??_ ;_ @_ "/>
    <numFmt numFmtId="167" formatCode="_([$€-2]\ * #,##0.00_);_([$€-2]\ * \(#,##0.00\);_([$€-2]\ 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quotePrefix="1" applyNumberFormat="1"/>
    <xf numFmtId="0" fontId="0" fillId="0" borderId="0" xfId="0" quotePrefix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de-DE</v>
    <v>avyt7w</v>
    <v>268435456</v>
    <v>1</v>
    <v>Unterstützt von Refinitiv</v>
    <v>0</v>
    <v>1</v>
    <v>USD/CHF</v>
    <v>3</v>
    <v>4</v>
    <v>Finance</v>
    <v>5</v>
    <v>0.82050000000000001</v>
    <v>0.76029999999999998</v>
    <v>1.6000000000000001E-3</v>
    <v>1.9550000000000001E-3</v>
    <v>0.82050000000000001</v>
    <v>Währungspaar</v>
    <v>46231.46607638889</v>
    <v>US Dollar/Swiss Franc FX Spot Rate</v>
    <v>0.81840000000000002</v>
    <v>0.81899999999999995</v>
    <v>0.82020000000000004</v>
    <v>0.81859999999999999</v>
    <v>USDCHF</v>
    <v>USD/CHF</v>
    <v>USD</v>
    <v>CHF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-Wochen-Hoch"/>
    <k n="52-Wochen-Tief"/>
    <k n="Änderung"/>
    <k n="Änderung (%)"/>
    <k n="Hoch"/>
    <k n="Instrumententyp" t="s"/>
    <k n="Letzte Handelszeit"/>
    <k n="Name" t="s"/>
    <k n="Niedrig"/>
    <k n="Öffnen"/>
    <k n="Preis"/>
    <k n="Schlusskurs des Vortags"/>
    <k n="Ticker-Symbol" t="s"/>
    <k n="UniqueName" t="s"/>
    <k n="Von Währung" t="s"/>
    <k n="Währung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Name</v>
      <v t="s">Preis</v>
      <v t="s">_SubLabel</v>
      <v t="s">Letzte Handelszeit</v>
      <v t="s">Ticker-Symbol</v>
      <v t="s">Änderung</v>
      <v t="s">Änderung (%)</v>
      <v t="s">Währung</v>
      <v t="s">Von Währung</v>
      <v t="s">Schlusskurs des Vortags</v>
      <v t="s">Öffnen</v>
      <v t="s">Hoch</v>
      <v t="s">Niedrig</v>
      <v t="s">52-Wochen-Hoch</v>
      <v t="s">52-Wochen-Tief</v>
      <v t="s">Instrumententyp</v>
      <v t="s">_Flags</v>
      <v t="s">UniqueName</v>
      <v t="s">_DisplayString</v>
      <v t="s">%ProviderInfo</v>
    </a>
  </spbArrays>
  <spbData count="6">
    <spb s="0">
      <v>High</v>
      <v>Name</v>
      <v>Price</v>
      <v>Open</v>
      <v>Low</v>
      <v>Currency</v>
      <v>Change</v>
      <v>UniqueName</v>
      <v>From currency</v>
      <v>Change (%)</v>
      <v>%ProviderInfo</v>
      <v>Ticker symbol</v>
      <v>52 week high</v>
      <v>52 week low</v>
      <v>Instrument type</v>
      <v>Last trade time</v>
      <v>Previous close</v>
    </spb>
    <spb s="1">
      <v>0</v>
      <v>Name</v>
    </spb>
    <spb s="2">
      <v>0</v>
      <v>0</v>
      <v>0</v>
    </spb>
    <spb s="3">
      <v>2</v>
      <v>2</v>
    </spb>
    <spb s="4">
      <v>1</v>
      <v>2</v>
      <v>1</v>
      <v>1</v>
      <v>1</v>
      <v>1</v>
      <v>3</v>
      <v>1</v>
      <v>1</v>
      <v>4</v>
      <v>5</v>
      <v>1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Hoch" t="s"/>
    <k n="Name" t="s"/>
    <k n="Preis" t="s"/>
    <k n="Öffnen" t="s"/>
    <k n="Niedrig" t="s"/>
    <k n="Währung" t="s"/>
    <k n="Änderung" t="s"/>
    <k n="UniqueName" t="s"/>
    <k n="Von Währung" t="s"/>
    <k n="Änderung (%)" t="s"/>
    <k n="%ProviderInfo" t="s"/>
    <k n="Ticker-Symbol" t="s"/>
    <k n="52-Wochen-Hoch" t="s"/>
    <k n="52-Wochen-Tief" t="s"/>
    <k n="Instrumententyp" t="s"/>
    <k n="Letzte Handelszeit" t="s"/>
    <k n="Schlusskurs des Vortags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Hoch" t="i"/>
    <k n="Name" t="i"/>
    <k n="Preis" t="i"/>
    <k n="Niedrig" t="i"/>
    <k n="`Öffnen" t="i"/>
    <k n="`Änderung" t="i"/>
    <k n="`Änderung (%)" t="i"/>
    <k n="52-Wochen-Hoch" t="i"/>
    <k n="52-Wochen-Tief" t="i"/>
    <k n="`%EntityServiceId" t="i"/>
    <k n="Letzte Handelszeit" t="i"/>
    <k n="Schlusskurs des Vortags" t="i"/>
  </s>
  <s>
    <k n="Letzte Handelszeit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</dxfs>
  <richProperties>
    <rPr n="NumberFormat" t="s"/>
    <rPr n="IsTitleField" t="b"/>
  </richProperties>
  <richStyles>
    <rSty dxfid="1">
      <rpv i="0" xml:space="preserve">_ [$CHF-de-CH] * #,##0.00_ ;_ [$CHF-de-CH] * -#,##0.00_ ;_ [$CHF-de-CH] * "-"??_ ;_ @_ </rpv>
    </rSty>
    <rSty>
      <rpv i="1">1</rpv>
    </rSty>
    <rSty dxfid="3"/>
    <rSty dxfid="0">
      <rpv i="0">0.00</rpv>
    </rSty>
    <rSty dxfid="2"/>
  </richStyles>
</richStyleShee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8EC4-8816-443F-9CA1-8EC3F94EF51D}">
  <dimension ref="A1:L19"/>
  <sheetViews>
    <sheetView tabSelected="1" workbookViewId="0">
      <selection activeCell="K14" sqref="K14"/>
    </sheetView>
  </sheetViews>
  <sheetFormatPr baseColWidth="10" defaultRowHeight="14.5" x14ac:dyDescent="0.35"/>
  <cols>
    <col min="4" max="4" width="17.453125" bestFit="1" customWidth="1"/>
    <col min="5" max="5" width="14.26953125" bestFit="1" customWidth="1"/>
    <col min="8" max="8" width="13.08984375" bestFit="1" customWidth="1"/>
    <col min="9" max="9" width="12.90625" bestFit="1" customWidth="1"/>
  </cols>
  <sheetData>
    <row r="1" spans="1:9" x14ac:dyDescent="0.35">
      <c r="A1" s="8" t="s">
        <v>6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36</v>
      </c>
      <c r="G1" s="8" t="s">
        <v>4</v>
      </c>
      <c r="H1" s="8" t="s">
        <v>5</v>
      </c>
      <c r="I1" s="8" t="s">
        <v>63</v>
      </c>
    </row>
    <row r="2" spans="1:9" x14ac:dyDescent="0.35">
      <c r="A2" s="7">
        <v>1</v>
      </c>
      <c r="B2" t="s">
        <v>7</v>
      </c>
      <c r="C2">
        <v>1</v>
      </c>
      <c r="D2" t="s">
        <v>30</v>
      </c>
      <c r="E2" t="s">
        <v>31</v>
      </c>
      <c r="F2" t="s">
        <v>40</v>
      </c>
      <c r="G2" t="s">
        <v>51</v>
      </c>
      <c r="H2" t="s">
        <v>57</v>
      </c>
      <c r="I2" s="4">
        <v>10.032999999999999</v>
      </c>
    </row>
    <row r="3" spans="1:9" x14ac:dyDescent="0.35">
      <c r="A3" s="7">
        <v>2</v>
      </c>
      <c r="B3" t="s">
        <v>8</v>
      </c>
      <c r="C3">
        <v>8</v>
      </c>
      <c r="D3" t="s">
        <v>20</v>
      </c>
      <c r="E3" t="s">
        <v>21</v>
      </c>
      <c r="F3" s="2" t="s">
        <v>43</v>
      </c>
      <c r="G3" t="s">
        <v>51</v>
      </c>
      <c r="H3" t="s">
        <v>56</v>
      </c>
      <c r="I3" s="4">
        <v>1.26E-2</v>
      </c>
    </row>
    <row r="4" spans="1:9" x14ac:dyDescent="0.35">
      <c r="A4" s="7">
        <v>3</v>
      </c>
      <c r="B4" t="s">
        <v>9</v>
      </c>
      <c r="C4">
        <v>14</v>
      </c>
      <c r="D4" t="s">
        <v>22</v>
      </c>
      <c r="E4" t="s">
        <v>23</v>
      </c>
      <c r="F4" s="3" t="s">
        <v>43</v>
      </c>
      <c r="G4" t="s">
        <v>51</v>
      </c>
      <c r="H4" t="s">
        <v>54</v>
      </c>
      <c r="I4" s="4">
        <v>2.3099999999999999E-2</v>
      </c>
    </row>
    <row r="5" spans="1:9" x14ac:dyDescent="0.35">
      <c r="A5" s="7">
        <v>4</v>
      </c>
      <c r="B5" t="s">
        <v>10</v>
      </c>
      <c r="C5">
        <v>1</v>
      </c>
      <c r="D5" t="s">
        <v>24</v>
      </c>
      <c r="E5" t="s">
        <v>25</v>
      </c>
      <c r="F5" t="s">
        <v>41</v>
      </c>
      <c r="G5" t="s">
        <v>51</v>
      </c>
      <c r="H5" t="s">
        <v>58</v>
      </c>
      <c r="I5" s="4">
        <v>7.0699999999999999E-2</v>
      </c>
    </row>
    <row r="6" spans="1:9" x14ac:dyDescent="0.35">
      <c r="A6" s="7">
        <v>5</v>
      </c>
      <c r="B6" t="s">
        <v>11</v>
      </c>
      <c r="C6">
        <v>6</v>
      </c>
      <c r="D6" t="s">
        <v>26</v>
      </c>
      <c r="E6" t="s">
        <v>26</v>
      </c>
      <c r="F6" t="s">
        <v>42</v>
      </c>
      <c r="G6" t="s">
        <v>51</v>
      </c>
      <c r="H6" t="s">
        <v>52</v>
      </c>
      <c r="I6" s="4">
        <v>3.5400000000000001E-2</v>
      </c>
    </row>
    <row r="7" spans="1:9" x14ac:dyDescent="0.35">
      <c r="A7" s="7">
        <v>6</v>
      </c>
      <c r="B7" t="s">
        <v>12</v>
      </c>
      <c r="C7">
        <v>62</v>
      </c>
      <c r="D7" t="s">
        <v>27</v>
      </c>
      <c r="E7" t="s">
        <v>37</v>
      </c>
      <c r="F7" s="3" t="s">
        <v>43</v>
      </c>
      <c r="G7" t="s">
        <v>51</v>
      </c>
      <c r="H7" t="s">
        <v>60</v>
      </c>
      <c r="I7" s="4">
        <v>3.7000000000000002E-3</v>
      </c>
    </row>
    <row r="8" spans="1:9" x14ac:dyDescent="0.35">
      <c r="A8" s="7">
        <v>7</v>
      </c>
      <c r="B8" t="s">
        <v>13</v>
      </c>
      <c r="C8">
        <v>6</v>
      </c>
      <c r="D8" t="s">
        <v>27</v>
      </c>
      <c r="E8" t="s">
        <v>38</v>
      </c>
      <c r="F8" s="2" t="s">
        <v>43</v>
      </c>
      <c r="G8" t="s">
        <v>51</v>
      </c>
      <c r="H8" t="s">
        <v>55</v>
      </c>
      <c r="I8" s="4">
        <v>4.0000000000000001E-3</v>
      </c>
    </row>
    <row r="9" spans="1:9" x14ac:dyDescent="0.35">
      <c r="A9" s="7">
        <v>8</v>
      </c>
      <c r="B9" t="s">
        <v>14</v>
      </c>
      <c r="C9">
        <v>2</v>
      </c>
      <c r="D9" t="s">
        <v>27</v>
      </c>
      <c r="E9" t="s">
        <v>39</v>
      </c>
      <c r="F9" s="2" t="s">
        <v>43</v>
      </c>
      <c r="G9" t="s">
        <v>51</v>
      </c>
      <c r="H9" t="s">
        <v>59</v>
      </c>
      <c r="I9" s="4">
        <v>1.3599999999999999E-2</v>
      </c>
    </row>
    <row r="10" spans="1:9" x14ac:dyDescent="0.35">
      <c r="A10" s="7">
        <v>9</v>
      </c>
      <c r="B10" t="s">
        <v>15</v>
      </c>
      <c r="C10">
        <v>14</v>
      </c>
      <c r="D10" t="s">
        <v>28</v>
      </c>
      <c r="E10" t="s">
        <v>32</v>
      </c>
      <c r="F10" s="1" t="s">
        <v>44</v>
      </c>
      <c r="G10" t="s">
        <v>51</v>
      </c>
      <c r="H10" t="s">
        <v>53</v>
      </c>
      <c r="I10" s="4">
        <v>1.8800000000000001E-2</v>
      </c>
    </row>
    <row r="11" spans="1:9" x14ac:dyDescent="0.35">
      <c r="A11" s="7">
        <v>10</v>
      </c>
      <c r="B11" t="s">
        <v>16</v>
      </c>
      <c r="C11">
        <v>1</v>
      </c>
      <c r="D11" t="s">
        <v>17</v>
      </c>
      <c r="E11" t="s">
        <v>33</v>
      </c>
      <c r="F11" s="1" t="s">
        <v>33</v>
      </c>
      <c r="G11" t="s">
        <v>51</v>
      </c>
      <c r="H11" t="s">
        <v>67</v>
      </c>
      <c r="I11" s="4">
        <v>1.9069</v>
      </c>
    </row>
    <row r="12" spans="1:9" x14ac:dyDescent="0.35">
      <c r="A12" s="7">
        <v>11</v>
      </c>
      <c r="B12" t="s">
        <v>18</v>
      </c>
      <c r="C12">
        <v>8</v>
      </c>
      <c r="D12" t="s">
        <v>34</v>
      </c>
      <c r="E12" t="s">
        <v>45</v>
      </c>
      <c r="F12" s="1" t="s">
        <v>46</v>
      </c>
      <c r="G12" t="s">
        <v>51</v>
      </c>
      <c r="H12" t="s">
        <v>61</v>
      </c>
      <c r="I12" s="4">
        <v>0.12820000000000001</v>
      </c>
    </row>
    <row r="13" spans="1:9" x14ac:dyDescent="0.35">
      <c r="A13" s="7">
        <v>12</v>
      </c>
      <c r="B13" t="s">
        <v>19</v>
      </c>
      <c r="C13">
        <v>6</v>
      </c>
      <c r="D13" t="s">
        <v>29</v>
      </c>
      <c r="E13" t="s">
        <v>35</v>
      </c>
      <c r="F13" s="1" t="s">
        <v>47</v>
      </c>
      <c r="G13" t="s">
        <v>51</v>
      </c>
      <c r="H13" t="s">
        <v>66</v>
      </c>
      <c r="I13" s="4">
        <v>0.21759999999999999</v>
      </c>
    </row>
    <row r="14" spans="1:9" x14ac:dyDescent="0.35">
      <c r="A14" s="7">
        <v>13</v>
      </c>
      <c r="B14" t="s">
        <v>48</v>
      </c>
      <c r="C14">
        <v>6</v>
      </c>
      <c r="D14" t="s">
        <v>49</v>
      </c>
      <c r="E14" t="s">
        <v>50</v>
      </c>
      <c r="F14" s="1" t="s">
        <v>47</v>
      </c>
      <c r="G14" t="s">
        <v>51</v>
      </c>
      <c r="H14" t="s">
        <v>62</v>
      </c>
      <c r="I14" s="4">
        <v>0.16520000000000001</v>
      </c>
    </row>
    <row r="16" spans="1:9" x14ac:dyDescent="0.35">
      <c r="H16" t="s">
        <v>65</v>
      </c>
      <c r="I16" s="4">
        <f>SUM((I2*C2)+(I3*C3)+(I4*C4)+(I5*C5)+(I6*C6)+(I7*C7)+(I8*C8)+(I9*C9)+(I10*C10)+(I11*C11)+(I12*C12)+(I13*C13)+(I14*C14))</f>
        <v>16.513400000000001</v>
      </c>
    </row>
    <row r="18" spans="8:12" x14ac:dyDescent="0.35">
      <c r="H18" t="e" vm="1">
        <v>#VALUE!</v>
      </c>
      <c r="I18" s="5" cm="1">
        <f t="array" aca="1" ref="I18" ca="1">_FV(H18,"Preis")</f>
        <v>0.82020000000000004</v>
      </c>
      <c r="L18" s="6"/>
    </row>
    <row r="19" spans="8:12" x14ac:dyDescent="0.35">
      <c r="H19" t="s">
        <v>64</v>
      </c>
      <c r="I19" s="5">
        <f ca="1">PRODUCT(I16*I18)</f>
        <v>13.544290680000001</v>
      </c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Hagmann</dc:creator>
  <cp:lastModifiedBy>Gian Hagmann</cp:lastModifiedBy>
  <dcterms:created xsi:type="dcterms:W3CDTF">2026-07-28T10:25:49Z</dcterms:created>
  <dcterms:modified xsi:type="dcterms:W3CDTF">2026-07-28T11:14:14Z</dcterms:modified>
</cp:coreProperties>
</file>